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e75aad00bb84f8a/Documents/Python/Datamites/05-Advance Data Science/Advanced Data Analysis with MS Excel/"/>
    </mc:Choice>
  </mc:AlternateContent>
  <xr:revisionPtr revIDLastSave="26" documentId="8_{137433FD-31E9-4DFC-8D4A-DA6D6A9D7252}" xr6:coauthVersionLast="47" xr6:coauthVersionMax="47" xr10:uidLastSave="{322BDF0C-9D37-4105-AD63-B0A5472E2725}"/>
  <bookViews>
    <workbookView xWindow="-108" yWindow="-108" windowWidth="23256" windowHeight="13896" activeTab="4" xr2:uid="{00000000-000D-0000-FFFF-FFFF00000000}"/>
  </bookViews>
  <sheets>
    <sheet name="SalesData" sheetId="1" r:id="rId1"/>
    <sheet name="Sheet2" sheetId="5" r:id="rId2"/>
    <sheet name="Products" sheetId="2" r:id="rId3"/>
    <sheet name="VLOOKUP_MISMATCH" sheetId="4" r:id="rId4"/>
    <sheet name="Questions_Answers" sheetId="3" r:id="rId5"/>
  </sheets>
  <definedNames>
    <definedName name="_xlnm._FilterDatabase" localSheetId="2" hidden="1">Products!$A$1:$D$7</definedName>
    <definedName name="_xlnm._FilterDatabase" localSheetId="4" hidden="1">Questions_Answers!$A$1:$D$23</definedName>
    <definedName name="_xlnm._FilterDatabase" localSheetId="0" hidden="1">SalesData!$A$1:$K$13</definedName>
    <definedName name="solver_adj" localSheetId="4" hidden="1">Questions_Answers!$B$32:$B$34</definedName>
    <definedName name="solver_cvg" localSheetId="4" hidden="1">0.0001</definedName>
    <definedName name="solver_drv" localSheetId="4" hidden="1">1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Questions_Answers!$B$32</definedName>
    <definedName name="solver_lhs2" localSheetId="4" hidden="1">Questions_Answers!$B$33</definedName>
    <definedName name="solver_lhs3" localSheetId="4" hidden="1">Questions_Answers!$B$34</definedName>
    <definedName name="solver_lhs4" localSheetId="4" hidden="1">Questions_Answers!$B$37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4</definedName>
    <definedName name="solver_nwt" localSheetId="4" hidden="1">1</definedName>
    <definedName name="solver_opt" localSheetId="4" hidden="1">Questions_Answers!$B$36</definedName>
    <definedName name="solver_pre" localSheetId="4" hidden="1">0.000001</definedName>
    <definedName name="solver_rbv" localSheetId="4" hidden="1">1</definedName>
    <definedName name="solver_rel1" localSheetId="4" hidden="1">3</definedName>
    <definedName name="solver_rel2" localSheetId="4" hidden="1">3</definedName>
    <definedName name="solver_rel3" localSheetId="4" hidden="1">3</definedName>
    <definedName name="solver_rel4" localSheetId="4" hidden="1">1</definedName>
    <definedName name="solver_rhs1" localSheetId="4" hidden="1">0</definedName>
    <definedName name="solver_rhs2" localSheetId="4" hidden="1">0</definedName>
    <definedName name="solver_rhs3" localSheetId="4" hidden="1">0</definedName>
    <definedName name="solver_rhs4" localSheetId="4" hidden="1">8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3" l="1"/>
  <c r="B36" i="3"/>
  <c r="E3" i="4"/>
  <c r="E4" i="4"/>
  <c r="E5" i="4"/>
  <c r="E2" i="4"/>
  <c r="H3" i="5"/>
  <c r="H4" i="5"/>
  <c r="H5" i="5"/>
  <c r="H6" i="5"/>
  <c r="H7" i="5"/>
  <c r="H8" i="5"/>
  <c r="H9" i="5"/>
  <c r="H10" i="5"/>
  <c r="H11" i="5"/>
  <c r="H12" i="5"/>
  <c r="H2" i="5"/>
  <c r="G3" i="5"/>
  <c r="G4" i="5"/>
  <c r="G5" i="5"/>
  <c r="G6" i="5"/>
  <c r="G7" i="5"/>
  <c r="G8" i="5"/>
  <c r="G9" i="5"/>
  <c r="G10" i="5"/>
  <c r="G11" i="5"/>
  <c r="G12" i="5"/>
  <c r="G2" i="5"/>
  <c r="D3" i="4"/>
  <c r="D4" i="4"/>
  <c r="D5" i="4"/>
  <c r="D2" i="4"/>
</calcChain>
</file>

<file path=xl/sharedStrings.xml><?xml version="1.0" encoding="utf-8"?>
<sst xmlns="http://schemas.openxmlformats.org/spreadsheetml/2006/main" count="235" uniqueCount="111">
  <si>
    <t>EmployeeID</t>
  </si>
  <si>
    <t>EmployeeName</t>
  </si>
  <si>
    <t>City</t>
  </si>
  <si>
    <t>Region</t>
  </si>
  <si>
    <t>Category</t>
  </si>
  <si>
    <t>Product</t>
  </si>
  <si>
    <t>UnitsSold</t>
  </si>
  <si>
    <t>UnitPrice</t>
  </si>
  <si>
    <t>SaleDate</t>
  </si>
  <si>
    <t>Revenue</t>
  </si>
  <si>
    <t>EmployeeCode</t>
  </si>
  <si>
    <t>Anita Rao</t>
  </si>
  <si>
    <t>Bangalore</t>
  </si>
  <si>
    <t>South</t>
  </si>
  <si>
    <t>Electronics</t>
  </si>
  <si>
    <t>Laptop</t>
  </si>
  <si>
    <t>EMP-BLR-101</t>
  </si>
  <si>
    <t>Karthik S</t>
  </si>
  <si>
    <t>Chennai</t>
  </si>
  <si>
    <t>Furniture</t>
  </si>
  <si>
    <t>Office Chair</t>
  </si>
  <si>
    <t>EMP-CHE-102</t>
  </si>
  <si>
    <t>Meena K</t>
  </si>
  <si>
    <t>Hyderabad</t>
  </si>
  <si>
    <t>Monitor</t>
  </si>
  <si>
    <t>EMP-HYD-103</t>
  </si>
  <si>
    <t>Rahul P</t>
  </si>
  <si>
    <t>Mumbai</t>
  </si>
  <si>
    <t>West</t>
  </si>
  <si>
    <t>Accessories</t>
  </si>
  <si>
    <t>Keyboard</t>
  </si>
  <si>
    <t>EMP-MUM-104</t>
  </si>
  <si>
    <t>Priya N</t>
  </si>
  <si>
    <t>EMP-BLR-105</t>
  </si>
  <si>
    <t>Arjun M</t>
  </si>
  <si>
    <t>Pune</t>
  </si>
  <si>
    <t>EMP-PUN-106</t>
  </si>
  <si>
    <t>Divya R</t>
  </si>
  <si>
    <t>Mouse</t>
  </si>
  <si>
    <t>EMP-CHE-107</t>
  </si>
  <si>
    <t>Vikram T</t>
  </si>
  <si>
    <t>EMP-MUM-108</t>
  </si>
  <si>
    <t>Sneha V</t>
  </si>
  <si>
    <t>Office Desk</t>
  </si>
  <si>
    <t>EMP-HYD-109</t>
  </si>
  <si>
    <t>Naveen G</t>
  </si>
  <si>
    <t>EMP-BLR-110</t>
  </si>
  <si>
    <t>Farah A</t>
  </si>
  <si>
    <t>EMP-PUN-111</t>
  </si>
  <si>
    <t>Sanjay L</t>
  </si>
  <si>
    <t>EMP-CHE-112</t>
  </si>
  <si>
    <t>PriceBand</t>
  </si>
  <si>
    <t>Premium</t>
  </si>
  <si>
    <t>Standard</t>
  </si>
  <si>
    <t>Basic</t>
  </si>
  <si>
    <t>Function</t>
  </si>
  <si>
    <t>Practice Question</t>
  </si>
  <si>
    <t>Formula (enter in Excel)</t>
  </si>
  <si>
    <t>Expected Answer</t>
  </si>
  <si>
    <t>SUMIF</t>
  </si>
  <si>
    <t>Find total revenue for the South region.</t>
  </si>
  <si>
    <t>Find total revenue for Electronics category.</t>
  </si>
  <si>
    <t>SUMIFS</t>
  </si>
  <si>
    <t>Find revenue for South region and Electronics category.</t>
  </si>
  <si>
    <t>Find revenue for Bangalore city and sales of at least 3 units.</t>
  </si>
  <si>
    <t>COUNTIF</t>
  </si>
  <si>
    <t>Count how many sales records are from Chennai.</t>
  </si>
  <si>
    <t>Count how many sales records have more than 5 units sold.</t>
  </si>
  <si>
    <t>COUNTIFS</t>
  </si>
  <si>
    <t>Count Electronics sales in the South region.</t>
  </si>
  <si>
    <t>Count records where the city is Bangalore and units sold are at least 3.</t>
  </si>
  <si>
    <t>MID</t>
  </si>
  <si>
    <t>Extract the 3-letter city code from EMP-BLR-101 (EmployeeCode in L2).</t>
  </si>
  <si>
    <t>BLR</t>
  </si>
  <si>
    <t>CONCAT</t>
  </si>
  <si>
    <t>Combine EmployeeName and City with a hyphen.</t>
  </si>
  <si>
    <t>Anita Rao - Bangalore</t>
  </si>
  <si>
    <t>CONCATENATE</t>
  </si>
  <si>
    <t>Create a label like Anita Rao (EMP-BLR-101).</t>
  </si>
  <si>
    <t>Anita Rao (EMP-BLR-101)</t>
  </si>
  <si>
    <t>SUM</t>
  </si>
  <si>
    <t>Calculate total revenue.</t>
  </si>
  <si>
    <t>AVERAGE</t>
  </si>
  <si>
    <t>Calculate average revenue per sales record.</t>
  </si>
  <si>
    <t>MAX</t>
  </si>
  <si>
    <t>Find the highest revenue in one sales record.</t>
  </si>
  <si>
    <t>MIN</t>
  </si>
  <si>
    <t>Find the lowest revenue in one sales record.</t>
  </si>
  <si>
    <t>COUNT</t>
  </si>
  <si>
    <t>Count numeric values in UnitsSold.</t>
  </si>
  <si>
    <t>COUNTA</t>
  </si>
  <si>
    <t>Count non-empty employee names.</t>
  </si>
  <si>
    <t>SUBTOTAL</t>
  </si>
  <si>
    <t>Calculate total revenue while excluding filtered-out rows.</t>
  </si>
  <si>
    <t>VLOOKUP</t>
  </si>
  <si>
    <t>Look up the category for the product in F2 using the Products sheet.</t>
  </si>
  <si>
    <t>Look up the price band for the product in F2 using the Products sheet.</t>
  </si>
  <si>
    <t>XLOOKUP</t>
  </si>
  <si>
    <t>Look up the unit price for the product in F2 using the Products sheet.</t>
  </si>
  <si>
    <t>Return the employee name for EmployeeID 108.</t>
  </si>
  <si>
    <t>Item</t>
  </si>
  <si>
    <t>Time Taken</t>
  </si>
  <si>
    <t>Bread</t>
  </si>
  <si>
    <t>Cake</t>
  </si>
  <si>
    <t>Biscuits</t>
  </si>
  <si>
    <t>1.How much profit we can get maximum Profit in 8hrs(closing time still we have 8hrs)</t>
  </si>
  <si>
    <t>X(Bread)</t>
  </si>
  <si>
    <t>Y(Cake)</t>
  </si>
  <si>
    <t>Z(Biscuits)</t>
  </si>
  <si>
    <t>Total Profit</t>
  </si>
  <si>
    <t>Total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</si>
</sst>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12" customWidth="1"/>
    <col min="2" max="2" width="14" customWidth="1"/>
    <col min="3" max="4" width="12" customWidth="1"/>
    <col min="5" max="5" width="13" customWidth="1"/>
    <col min="6" max="6" width="14" customWidth="1"/>
    <col min="7" max="8" width="12" customWidth="1"/>
    <col min="9" max="9" width="21" customWidth="1"/>
    <col min="10" max="10" width="12" customWidth="1"/>
    <col min="11" max="11" width="14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 s="2">
        <v>55000</v>
      </c>
      <c r="I2" s="3">
        <v>46034</v>
      </c>
      <c r="J2" s="2">
        <v>165000</v>
      </c>
      <c r="K2" t="s">
        <v>16</v>
      </c>
    </row>
    <row r="3" spans="1:11" x14ac:dyDescent="0.3">
      <c r="A3">
        <v>102</v>
      </c>
      <c r="B3" t="s">
        <v>17</v>
      </c>
      <c r="C3" t="s">
        <v>18</v>
      </c>
      <c r="D3" t="s">
        <v>13</v>
      </c>
      <c r="E3" t="s">
        <v>19</v>
      </c>
      <c r="F3" t="s">
        <v>20</v>
      </c>
      <c r="G3">
        <v>8</v>
      </c>
      <c r="H3" s="2">
        <v>6500</v>
      </c>
      <c r="I3" s="3">
        <v>46037</v>
      </c>
      <c r="J3" s="2">
        <v>52000</v>
      </c>
      <c r="K3" t="s">
        <v>21</v>
      </c>
    </row>
    <row r="4" spans="1:11" x14ac:dyDescent="0.3">
      <c r="A4">
        <v>103</v>
      </c>
      <c r="B4" t="s">
        <v>22</v>
      </c>
      <c r="C4" t="s">
        <v>23</v>
      </c>
      <c r="D4" t="s">
        <v>13</v>
      </c>
      <c r="E4" t="s">
        <v>14</v>
      </c>
      <c r="F4" t="s">
        <v>24</v>
      </c>
      <c r="G4">
        <v>5</v>
      </c>
      <c r="H4" s="2">
        <v>12000</v>
      </c>
      <c r="I4" s="3">
        <v>46056</v>
      </c>
      <c r="J4" s="2">
        <v>60000</v>
      </c>
      <c r="K4" t="s">
        <v>25</v>
      </c>
    </row>
    <row r="5" spans="1:11" x14ac:dyDescent="0.3">
      <c r="A5">
        <v>104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12</v>
      </c>
      <c r="H5" s="2">
        <v>1200</v>
      </c>
      <c r="I5" s="3">
        <v>46063</v>
      </c>
      <c r="J5" s="2">
        <v>14400</v>
      </c>
      <c r="K5" t="s">
        <v>31</v>
      </c>
    </row>
    <row r="6" spans="1:11" x14ac:dyDescent="0.3">
      <c r="A6">
        <v>105</v>
      </c>
      <c r="B6" t="s">
        <v>32</v>
      </c>
      <c r="C6" t="s">
        <v>12</v>
      </c>
      <c r="D6" t="s">
        <v>13</v>
      </c>
      <c r="E6" t="s">
        <v>14</v>
      </c>
      <c r="F6" t="s">
        <v>15</v>
      </c>
      <c r="G6">
        <v>2</v>
      </c>
      <c r="H6" s="2">
        <v>55000</v>
      </c>
      <c r="I6" s="3">
        <v>46071</v>
      </c>
      <c r="J6" s="2">
        <v>110000</v>
      </c>
      <c r="K6" t="s">
        <v>33</v>
      </c>
    </row>
    <row r="7" spans="1:11" x14ac:dyDescent="0.3">
      <c r="A7">
        <v>106</v>
      </c>
      <c r="B7" t="s">
        <v>34</v>
      </c>
      <c r="C7" t="s">
        <v>35</v>
      </c>
      <c r="D7" t="s">
        <v>28</v>
      </c>
      <c r="E7" t="s">
        <v>19</v>
      </c>
      <c r="F7" t="s">
        <v>20</v>
      </c>
      <c r="G7">
        <v>6</v>
      </c>
      <c r="H7" s="2">
        <v>6500</v>
      </c>
      <c r="I7" s="3">
        <v>46082</v>
      </c>
      <c r="J7" s="2">
        <v>39000</v>
      </c>
      <c r="K7" t="s">
        <v>36</v>
      </c>
    </row>
    <row r="8" spans="1:11" x14ac:dyDescent="0.3">
      <c r="A8">
        <v>107</v>
      </c>
      <c r="B8" t="s">
        <v>37</v>
      </c>
      <c r="C8" t="s">
        <v>18</v>
      </c>
      <c r="D8" t="s">
        <v>13</v>
      </c>
      <c r="E8" t="s">
        <v>29</v>
      </c>
      <c r="F8" t="s">
        <v>38</v>
      </c>
      <c r="G8">
        <v>20</v>
      </c>
      <c r="H8" s="2">
        <v>750</v>
      </c>
      <c r="I8" s="3">
        <v>46090</v>
      </c>
      <c r="J8" s="2">
        <v>15000</v>
      </c>
      <c r="K8" t="s">
        <v>39</v>
      </c>
    </row>
    <row r="9" spans="1:11" x14ac:dyDescent="0.3">
      <c r="A9">
        <v>108</v>
      </c>
      <c r="B9" t="s">
        <v>40</v>
      </c>
      <c r="C9" t="s">
        <v>27</v>
      </c>
      <c r="D9" t="s">
        <v>28</v>
      </c>
      <c r="E9" t="s">
        <v>14</v>
      </c>
      <c r="F9" t="s">
        <v>24</v>
      </c>
      <c r="G9">
        <v>4</v>
      </c>
      <c r="H9" s="2">
        <v>12000</v>
      </c>
      <c r="I9" s="3">
        <v>46095</v>
      </c>
      <c r="J9" s="2">
        <v>48000</v>
      </c>
      <c r="K9" t="s">
        <v>41</v>
      </c>
    </row>
    <row r="10" spans="1:11" x14ac:dyDescent="0.3">
      <c r="A10">
        <v>109</v>
      </c>
      <c r="B10" t="s">
        <v>42</v>
      </c>
      <c r="C10" t="s">
        <v>23</v>
      </c>
      <c r="D10" t="s">
        <v>13</v>
      </c>
      <c r="E10" t="s">
        <v>19</v>
      </c>
      <c r="F10" t="s">
        <v>43</v>
      </c>
      <c r="G10">
        <v>2</v>
      </c>
      <c r="H10" s="2">
        <v>18000</v>
      </c>
      <c r="I10" s="3">
        <v>46114</v>
      </c>
      <c r="J10" s="2">
        <v>36000</v>
      </c>
      <c r="K10" t="s">
        <v>44</v>
      </c>
    </row>
    <row r="11" spans="1:11" x14ac:dyDescent="0.3">
      <c r="A11">
        <v>110</v>
      </c>
      <c r="B11" t="s">
        <v>45</v>
      </c>
      <c r="C11" t="s">
        <v>12</v>
      </c>
      <c r="D11" t="s">
        <v>13</v>
      </c>
      <c r="E11" t="s">
        <v>29</v>
      </c>
      <c r="F11" t="s">
        <v>30</v>
      </c>
      <c r="G11">
        <v>10</v>
      </c>
      <c r="H11" s="2">
        <v>1200</v>
      </c>
      <c r="I11" s="3">
        <v>46123</v>
      </c>
      <c r="J11" s="2">
        <v>12000</v>
      </c>
      <c r="K11" t="s">
        <v>46</v>
      </c>
    </row>
    <row r="12" spans="1:11" x14ac:dyDescent="0.3">
      <c r="A12">
        <v>111</v>
      </c>
      <c r="B12" t="s">
        <v>47</v>
      </c>
      <c r="C12" t="s">
        <v>35</v>
      </c>
      <c r="D12" t="s">
        <v>28</v>
      </c>
      <c r="E12" t="s">
        <v>14</v>
      </c>
      <c r="F12" t="s">
        <v>15</v>
      </c>
      <c r="G12">
        <v>1</v>
      </c>
      <c r="H12" s="2">
        <v>55000</v>
      </c>
      <c r="I12" s="3">
        <v>46132</v>
      </c>
      <c r="J12" s="2">
        <v>55000</v>
      </c>
      <c r="K12" t="s">
        <v>48</v>
      </c>
    </row>
    <row r="13" spans="1:11" x14ac:dyDescent="0.3">
      <c r="A13">
        <v>112</v>
      </c>
      <c r="B13" t="s">
        <v>49</v>
      </c>
      <c r="C13" t="s">
        <v>18</v>
      </c>
      <c r="D13" t="s">
        <v>13</v>
      </c>
      <c r="E13" t="s">
        <v>19</v>
      </c>
      <c r="F13" t="s">
        <v>43</v>
      </c>
      <c r="G13">
        <v>3</v>
      </c>
      <c r="H13" s="2">
        <v>18000</v>
      </c>
      <c r="I13" s="3">
        <v>46147</v>
      </c>
      <c r="J13" s="2">
        <v>54000</v>
      </c>
      <c r="K13" t="s">
        <v>50</v>
      </c>
    </row>
  </sheetData>
  <autoFilter ref="A1:K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501C-7B01-4F6E-A8E5-CE7C55E18DD7}">
  <dimension ref="A1:H12"/>
  <sheetViews>
    <sheetView zoomScale="140" zoomScaleNormal="140" workbookViewId="0">
      <selection activeCell="H15" sqref="H15"/>
    </sheetView>
  </sheetViews>
  <sheetFormatPr defaultRowHeight="14.4" x14ac:dyDescent="0.3"/>
  <cols>
    <col min="1" max="1" width="12" customWidth="1"/>
    <col min="2" max="2" width="14" customWidth="1"/>
    <col min="3" max="4" width="12" customWidth="1"/>
    <col min="5" max="5" width="14" customWidth="1"/>
    <col min="6" max="6" width="12" customWidth="1"/>
    <col min="8" max="8" width="15.8867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</row>
    <row r="2" spans="1:8" x14ac:dyDescent="0.3">
      <c r="A2">
        <v>101</v>
      </c>
      <c r="B2" t="s">
        <v>11</v>
      </c>
      <c r="C2" t="s">
        <v>12</v>
      </c>
      <c r="D2" t="s">
        <v>13</v>
      </c>
      <c r="E2" t="s">
        <v>15</v>
      </c>
      <c r="F2">
        <v>3</v>
      </c>
      <c r="G2">
        <f>VLOOKUP(A2,SalesData!A:K,8,0)</f>
        <v>55000</v>
      </c>
      <c r="H2" t="str">
        <f>VLOOKUP(A2,SalesData!A:H,5,0)</f>
        <v>Electronics</v>
      </c>
    </row>
    <row r="3" spans="1:8" x14ac:dyDescent="0.3">
      <c r="A3">
        <v>102</v>
      </c>
      <c r="B3" t="s">
        <v>17</v>
      </c>
      <c r="C3" t="s">
        <v>18</v>
      </c>
      <c r="D3" t="s">
        <v>13</v>
      </c>
      <c r="E3" t="s">
        <v>20</v>
      </c>
      <c r="F3">
        <v>8</v>
      </c>
      <c r="G3">
        <f>VLOOKUP(A3,SalesData!A:K,8,0)</f>
        <v>6500</v>
      </c>
      <c r="H3" t="str">
        <f>VLOOKUP(A3,SalesData!A:H,5,0)</f>
        <v>Furniture</v>
      </c>
    </row>
    <row r="4" spans="1:8" x14ac:dyDescent="0.3">
      <c r="A4">
        <v>103</v>
      </c>
      <c r="B4" t="s">
        <v>22</v>
      </c>
      <c r="C4" t="s">
        <v>23</v>
      </c>
      <c r="D4" t="s">
        <v>13</v>
      </c>
      <c r="E4" t="s">
        <v>24</v>
      </c>
      <c r="F4">
        <v>5</v>
      </c>
      <c r="G4">
        <f>VLOOKUP(A4,SalesData!A:K,8,0)</f>
        <v>12000</v>
      </c>
      <c r="H4" t="str">
        <f>VLOOKUP(A4,SalesData!A:H,5,0)</f>
        <v>Electronics</v>
      </c>
    </row>
    <row r="5" spans="1:8" x14ac:dyDescent="0.3">
      <c r="A5">
        <v>104</v>
      </c>
      <c r="B5" t="s">
        <v>26</v>
      </c>
      <c r="C5" t="s">
        <v>27</v>
      </c>
      <c r="D5" t="s">
        <v>28</v>
      </c>
      <c r="E5" t="s">
        <v>30</v>
      </c>
      <c r="F5">
        <v>12</v>
      </c>
      <c r="G5">
        <f>VLOOKUP(A5,SalesData!A:K,8,0)</f>
        <v>1200</v>
      </c>
      <c r="H5" t="str">
        <f>VLOOKUP(A5,SalesData!A:H,5,0)</f>
        <v>Accessories</v>
      </c>
    </row>
    <row r="6" spans="1:8" x14ac:dyDescent="0.3">
      <c r="A6">
        <v>105</v>
      </c>
      <c r="B6" t="s">
        <v>32</v>
      </c>
      <c r="C6" t="s">
        <v>12</v>
      </c>
      <c r="D6" t="s">
        <v>13</v>
      </c>
      <c r="E6" t="s">
        <v>15</v>
      </c>
      <c r="F6">
        <v>2</v>
      </c>
      <c r="G6">
        <f>VLOOKUP(A6,SalesData!A:K,8,0)</f>
        <v>55000</v>
      </c>
      <c r="H6" t="str">
        <f>VLOOKUP(A6,SalesData!A:H,5,0)</f>
        <v>Electronics</v>
      </c>
    </row>
    <row r="7" spans="1:8" x14ac:dyDescent="0.3">
      <c r="A7">
        <v>106</v>
      </c>
      <c r="B7" t="s">
        <v>34</v>
      </c>
      <c r="C7" t="s">
        <v>35</v>
      </c>
      <c r="D7" t="s">
        <v>28</v>
      </c>
      <c r="E7" t="s">
        <v>20</v>
      </c>
      <c r="F7">
        <v>6</v>
      </c>
      <c r="G7">
        <f>VLOOKUP(A7,SalesData!A:K,8,0)</f>
        <v>6500</v>
      </c>
      <c r="H7" t="str">
        <f>VLOOKUP(A7,SalesData!A:H,5,0)</f>
        <v>Furniture</v>
      </c>
    </row>
    <row r="8" spans="1:8" x14ac:dyDescent="0.3">
      <c r="A8">
        <v>107</v>
      </c>
      <c r="B8" t="s">
        <v>37</v>
      </c>
      <c r="C8" t="s">
        <v>18</v>
      </c>
      <c r="D8" t="s">
        <v>13</v>
      </c>
      <c r="E8" t="s">
        <v>38</v>
      </c>
      <c r="F8">
        <v>20</v>
      </c>
      <c r="G8">
        <f>VLOOKUP(A8,SalesData!A:K,8,0)</f>
        <v>750</v>
      </c>
      <c r="H8" t="str">
        <f>VLOOKUP(A8,SalesData!A:H,5,0)</f>
        <v>Accessories</v>
      </c>
    </row>
    <row r="9" spans="1:8" x14ac:dyDescent="0.3">
      <c r="A9">
        <v>111</v>
      </c>
      <c r="B9" t="s">
        <v>47</v>
      </c>
      <c r="C9" t="s">
        <v>35</v>
      </c>
      <c r="D9" t="s">
        <v>28</v>
      </c>
      <c r="E9" t="s">
        <v>15</v>
      </c>
      <c r="F9">
        <v>1</v>
      </c>
      <c r="G9">
        <f>VLOOKUP(A9,SalesData!A:K,8,0)</f>
        <v>55000</v>
      </c>
      <c r="H9" t="str">
        <f>VLOOKUP(A9,SalesData!A:H,5,0)</f>
        <v>Electronics</v>
      </c>
    </row>
    <row r="10" spans="1:8" x14ac:dyDescent="0.3">
      <c r="A10">
        <v>112</v>
      </c>
      <c r="B10" t="s">
        <v>49</v>
      </c>
      <c r="C10" t="s">
        <v>18</v>
      </c>
      <c r="D10" t="s">
        <v>13</v>
      </c>
      <c r="E10" t="s">
        <v>43</v>
      </c>
      <c r="F10">
        <v>3</v>
      </c>
      <c r="G10">
        <f>VLOOKUP(A10,SalesData!A:K,8,0)</f>
        <v>18000</v>
      </c>
      <c r="H10" t="str">
        <f>VLOOKUP(A10,SalesData!A:H,5,0)</f>
        <v>Furniture</v>
      </c>
    </row>
    <row r="11" spans="1:8" x14ac:dyDescent="0.3">
      <c r="A11">
        <v>108</v>
      </c>
      <c r="B11" t="s">
        <v>40</v>
      </c>
      <c r="C11" t="s">
        <v>27</v>
      </c>
      <c r="D11" t="s">
        <v>28</v>
      </c>
      <c r="E11" t="s">
        <v>24</v>
      </c>
      <c r="F11">
        <v>4</v>
      </c>
      <c r="G11">
        <f>VLOOKUP(A11,SalesData!A:K,8,0)</f>
        <v>12000</v>
      </c>
      <c r="H11" t="str">
        <f>VLOOKUP(A11,SalesData!A:H,5,0)</f>
        <v>Electronics</v>
      </c>
    </row>
    <row r="12" spans="1:8" x14ac:dyDescent="0.3">
      <c r="A12">
        <v>109</v>
      </c>
      <c r="B12" t="s">
        <v>42</v>
      </c>
      <c r="C12" t="s">
        <v>23</v>
      </c>
      <c r="D12" t="s">
        <v>13</v>
      </c>
      <c r="E12" t="s">
        <v>43</v>
      </c>
      <c r="F12">
        <v>2</v>
      </c>
      <c r="G12">
        <f>VLOOKUP(A12,SalesData!A:K,8,0)</f>
        <v>18000</v>
      </c>
      <c r="H12" t="str">
        <f>VLOOKUP(A12,SalesData!A:H,5,0)</f>
        <v>Furniture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140" zoomScaleNormal="140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4" customWidth="1"/>
    <col min="2" max="2" width="13" customWidth="1"/>
    <col min="3" max="4" width="12" customWidth="1"/>
  </cols>
  <sheetData>
    <row r="1" spans="1:4" ht="31.95" customHeight="1" x14ac:dyDescent="0.3">
      <c r="A1" s="1" t="s">
        <v>5</v>
      </c>
      <c r="B1" s="1" t="s">
        <v>4</v>
      </c>
      <c r="C1" s="1" t="s">
        <v>7</v>
      </c>
      <c r="D1" s="1" t="s">
        <v>51</v>
      </c>
    </row>
    <row r="2" spans="1:4" x14ac:dyDescent="0.3">
      <c r="A2" t="s">
        <v>15</v>
      </c>
      <c r="B2" t="s">
        <v>14</v>
      </c>
      <c r="C2" s="2">
        <v>55000</v>
      </c>
      <c r="D2" t="s">
        <v>52</v>
      </c>
    </row>
    <row r="3" spans="1:4" x14ac:dyDescent="0.3">
      <c r="A3" t="s">
        <v>24</v>
      </c>
      <c r="B3" t="s">
        <v>14</v>
      </c>
      <c r="C3" s="2">
        <v>12000</v>
      </c>
      <c r="D3" t="s">
        <v>53</v>
      </c>
    </row>
    <row r="4" spans="1:4" x14ac:dyDescent="0.3">
      <c r="A4" t="s">
        <v>20</v>
      </c>
      <c r="B4" t="s">
        <v>19</v>
      </c>
      <c r="C4" s="2">
        <v>6500</v>
      </c>
      <c r="D4" t="s">
        <v>53</v>
      </c>
    </row>
    <row r="5" spans="1:4" x14ac:dyDescent="0.3">
      <c r="A5" t="s">
        <v>43</v>
      </c>
      <c r="B5" t="s">
        <v>19</v>
      </c>
      <c r="C5" s="2">
        <v>18000</v>
      </c>
      <c r="D5" t="s">
        <v>52</v>
      </c>
    </row>
    <row r="6" spans="1:4" x14ac:dyDescent="0.3">
      <c r="A6" t="s">
        <v>30</v>
      </c>
      <c r="B6" t="s">
        <v>29</v>
      </c>
      <c r="C6" s="2">
        <v>1200</v>
      </c>
      <c r="D6" t="s">
        <v>54</v>
      </c>
    </row>
    <row r="7" spans="1:4" x14ac:dyDescent="0.3">
      <c r="A7" t="s">
        <v>38</v>
      </c>
      <c r="B7" t="s">
        <v>29</v>
      </c>
      <c r="C7" s="2">
        <v>750</v>
      </c>
      <c r="D7" t="s">
        <v>54</v>
      </c>
    </row>
  </sheetData>
  <autoFilter ref="A1:D7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0F5E-BEB5-4A15-B2E9-8455A79D606B}">
  <dimension ref="A1:E5"/>
  <sheetViews>
    <sheetView zoomScale="190" zoomScaleNormal="190" workbookViewId="0">
      <selection activeCell="E2" sqref="E2:E5"/>
    </sheetView>
  </sheetViews>
  <sheetFormatPr defaultRowHeight="14.4" x14ac:dyDescent="0.3"/>
  <cols>
    <col min="1" max="1" width="14.44140625" customWidth="1"/>
    <col min="2" max="2" width="14.88671875" customWidth="1"/>
    <col min="3" max="3" width="18.21875" customWidth="1"/>
    <col min="4" max="4" width="20" customWidth="1"/>
  </cols>
  <sheetData>
    <row r="1" spans="1:5" x14ac:dyDescent="0.3">
      <c r="A1" s="1" t="s">
        <v>5</v>
      </c>
      <c r="B1" s="1" t="s">
        <v>4</v>
      </c>
      <c r="C1" s="1" t="s">
        <v>7</v>
      </c>
      <c r="D1" s="1" t="s">
        <v>51</v>
      </c>
      <c r="E1" s="1" t="s">
        <v>9</v>
      </c>
    </row>
    <row r="2" spans="1:5" x14ac:dyDescent="0.3">
      <c r="A2" t="s">
        <v>15</v>
      </c>
      <c r="B2" t="s">
        <v>14</v>
      </c>
      <c r="C2" s="2">
        <v>55000</v>
      </c>
      <c r="D2" t="str">
        <f>VLOOKUP(A2,Products!A:D,4,0)</f>
        <v>Premium</v>
      </c>
      <c r="E2">
        <f>VLOOKUP(A2,SalesData!F:J,5,0)</f>
        <v>165000</v>
      </c>
    </row>
    <row r="3" spans="1:5" x14ac:dyDescent="0.3">
      <c r="A3" t="s">
        <v>24</v>
      </c>
      <c r="B3" t="s">
        <v>14</v>
      </c>
      <c r="C3" s="2">
        <v>12000</v>
      </c>
      <c r="D3" t="str">
        <f>VLOOKUP(A3,Products!A:D,4,0)</f>
        <v>Standard</v>
      </c>
      <c r="E3">
        <f>VLOOKUP(A3,SalesData!F:J,5,0)</f>
        <v>60000</v>
      </c>
    </row>
    <row r="4" spans="1:5" x14ac:dyDescent="0.3">
      <c r="A4" t="s">
        <v>30</v>
      </c>
      <c r="B4" t="s">
        <v>29</v>
      </c>
      <c r="C4" s="2">
        <v>1200</v>
      </c>
      <c r="D4" t="str">
        <f>VLOOKUP(A4,Products!A:D,4,0)</f>
        <v>Basic</v>
      </c>
      <c r="E4">
        <f>VLOOKUP(A4,SalesData!F:J,5,0)</f>
        <v>14400</v>
      </c>
    </row>
    <row r="5" spans="1:5" x14ac:dyDescent="0.3">
      <c r="A5" t="s">
        <v>20</v>
      </c>
      <c r="B5" t="s">
        <v>19</v>
      </c>
      <c r="C5" s="2">
        <v>6500</v>
      </c>
      <c r="D5" t="str">
        <f>VLOOKUP(A5,Products!A:D,4,0)</f>
        <v>Standard</v>
      </c>
      <c r="E5">
        <f>VLOOKUP(A5,SalesData!F:J,5,0)</f>
        <v>52000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tabSelected="1" zoomScale="140" zoomScaleNormal="140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13" customWidth="1"/>
    <col min="2" max="2" width="63.33203125" customWidth="1"/>
    <col min="3" max="3" width="55" customWidth="1"/>
    <col min="4" max="4" width="25" customWidth="1"/>
  </cols>
  <sheetData>
    <row r="1" spans="1:4" ht="31.95" customHeight="1" x14ac:dyDescent="0.3">
      <c r="A1" s="1" t="s">
        <v>55</v>
      </c>
      <c r="B1" s="1" t="s">
        <v>56</v>
      </c>
      <c r="C1" s="1" t="s">
        <v>57</v>
      </c>
      <c r="D1" s="1" t="s">
        <v>58</v>
      </c>
    </row>
    <row r="2" spans="1:4" x14ac:dyDescent="0.3">
      <c r="A2" t="s">
        <v>59</v>
      </c>
      <c r="B2" t="s">
        <v>60</v>
      </c>
      <c r="D2">
        <v>504000</v>
      </c>
    </row>
    <row r="3" spans="1:4" x14ac:dyDescent="0.3">
      <c r="A3" t="s">
        <v>59</v>
      </c>
      <c r="B3" t="s">
        <v>61</v>
      </c>
      <c r="D3">
        <v>438000</v>
      </c>
    </row>
    <row r="4" spans="1:4" x14ac:dyDescent="0.3">
      <c r="A4" t="s">
        <v>62</v>
      </c>
      <c r="B4" t="s">
        <v>63</v>
      </c>
      <c r="D4">
        <v>335000</v>
      </c>
    </row>
    <row r="5" spans="1:4" x14ac:dyDescent="0.3">
      <c r="A5" t="s">
        <v>62</v>
      </c>
      <c r="B5" t="s">
        <v>64</v>
      </c>
      <c r="D5">
        <v>177000</v>
      </c>
    </row>
    <row r="6" spans="1:4" x14ac:dyDescent="0.3">
      <c r="A6" t="s">
        <v>65</v>
      </c>
      <c r="B6" t="s">
        <v>66</v>
      </c>
      <c r="D6">
        <v>3</v>
      </c>
    </row>
    <row r="7" spans="1:4" x14ac:dyDescent="0.3">
      <c r="A7" t="s">
        <v>65</v>
      </c>
      <c r="B7" t="s">
        <v>67</v>
      </c>
      <c r="D7">
        <v>5</v>
      </c>
    </row>
    <row r="8" spans="1:4" x14ac:dyDescent="0.3">
      <c r="A8" t="s">
        <v>68</v>
      </c>
      <c r="B8" t="s">
        <v>69</v>
      </c>
      <c r="D8">
        <v>3</v>
      </c>
    </row>
    <row r="9" spans="1:4" x14ac:dyDescent="0.3">
      <c r="A9" t="s">
        <v>68</v>
      </c>
      <c r="B9" t="s">
        <v>70</v>
      </c>
      <c r="D9">
        <v>2</v>
      </c>
    </row>
    <row r="10" spans="1:4" x14ac:dyDescent="0.3">
      <c r="A10" t="s">
        <v>71</v>
      </c>
      <c r="B10" t="s">
        <v>72</v>
      </c>
      <c r="D10" t="s">
        <v>73</v>
      </c>
    </row>
    <row r="11" spans="1:4" x14ac:dyDescent="0.3">
      <c r="A11" t="s">
        <v>74</v>
      </c>
      <c r="B11" t="s">
        <v>75</v>
      </c>
      <c r="D11" t="s">
        <v>76</v>
      </c>
    </row>
    <row r="12" spans="1:4" x14ac:dyDescent="0.3">
      <c r="A12" t="s">
        <v>77</v>
      </c>
      <c r="B12" t="s">
        <v>78</v>
      </c>
      <c r="D12" t="s">
        <v>79</v>
      </c>
    </row>
    <row r="13" spans="1:4" x14ac:dyDescent="0.3">
      <c r="A13" t="s">
        <v>80</v>
      </c>
      <c r="B13" t="s">
        <v>81</v>
      </c>
      <c r="D13">
        <v>660400</v>
      </c>
    </row>
    <row r="14" spans="1:4" x14ac:dyDescent="0.3">
      <c r="A14" t="s">
        <v>82</v>
      </c>
      <c r="B14" t="s">
        <v>83</v>
      </c>
      <c r="D14">
        <v>55033.33</v>
      </c>
    </row>
    <row r="15" spans="1:4" x14ac:dyDescent="0.3">
      <c r="A15" t="s">
        <v>84</v>
      </c>
      <c r="B15" t="s">
        <v>85</v>
      </c>
      <c r="D15">
        <v>165000</v>
      </c>
    </row>
    <row r="16" spans="1:4" x14ac:dyDescent="0.3">
      <c r="A16" t="s">
        <v>86</v>
      </c>
      <c r="B16" t="s">
        <v>87</v>
      </c>
      <c r="D16">
        <v>12000</v>
      </c>
    </row>
    <row r="17" spans="1:4" x14ac:dyDescent="0.3">
      <c r="A17" t="s">
        <v>88</v>
      </c>
      <c r="B17" t="s">
        <v>89</v>
      </c>
      <c r="D17">
        <v>12</v>
      </c>
    </row>
    <row r="18" spans="1:4" x14ac:dyDescent="0.3">
      <c r="A18" t="s">
        <v>90</v>
      </c>
      <c r="B18" t="s">
        <v>91</v>
      </c>
      <c r="D18">
        <v>12</v>
      </c>
    </row>
    <row r="19" spans="1:4" x14ac:dyDescent="0.3">
      <c r="A19" t="s">
        <v>92</v>
      </c>
      <c r="B19" t="s">
        <v>93</v>
      </c>
      <c r="D19">
        <v>660400</v>
      </c>
    </row>
    <row r="20" spans="1:4" x14ac:dyDescent="0.3">
      <c r="A20" t="s">
        <v>94</v>
      </c>
      <c r="B20" t="s">
        <v>95</v>
      </c>
      <c r="D20" t="s">
        <v>14</v>
      </c>
    </row>
    <row r="21" spans="1:4" x14ac:dyDescent="0.3">
      <c r="A21" t="s">
        <v>94</v>
      </c>
      <c r="B21" t="s">
        <v>96</v>
      </c>
      <c r="D21" t="s">
        <v>52</v>
      </c>
    </row>
    <row r="22" spans="1:4" x14ac:dyDescent="0.3">
      <c r="A22" t="s">
        <v>97</v>
      </c>
      <c r="B22" t="s">
        <v>98</v>
      </c>
      <c r="D22">
        <v>55000</v>
      </c>
    </row>
    <row r="23" spans="1:4" x14ac:dyDescent="0.3">
      <c r="A23" t="s">
        <v>97</v>
      </c>
      <c r="B23" t="s">
        <v>99</v>
      </c>
      <c r="D23" t="s">
        <v>40</v>
      </c>
    </row>
    <row r="25" spans="1:4" x14ac:dyDescent="0.3">
      <c r="A25" t="s">
        <v>100</v>
      </c>
      <c r="B25" t="s">
        <v>101</v>
      </c>
    </row>
    <row r="26" spans="1:4" x14ac:dyDescent="0.3">
      <c r="A26" t="s">
        <v>102</v>
      </c>
      <c r="B26">
        <v>2</v>
      </c>
    </row>
    <row r="27" spans="1:4" x14ac:dyDescent="0.3">
      <c r="A27" t="s">
        <v>103</v>
      </c>
      <c r="B27">
        <v>1</v>
      </c>
    </row>
    <row r="28" spans="1:4" x14ac:dyDescent="0.3">
      <c r="A28" t="s">
        <v>104</v>
      </c>
      <c r="B28">
        <v>2</v>
      </c>
    </row>
    <row r="29" spans="1:4" x14ac:dyDescent="0.3">
      <c r="A29" t="s">
        <v>105</v>
      </c>
    </row>
    <row r="32" spans="1:4" x14ac:dyDescent="0.3">
      <c r="A32" t="s">
        <v>106</v>
      </c>
      <c r="B32">
        <v>0</v>
      </c>
    </row>
    <row r="33" spans="1:2" x14ac:dyDescent="0.3">
      <c r="A33" t="s">
        <v>107</v>
      </c>
      <c r="B33">
        <v>0</v>
      </c>
    </row>
    <row r="34" spans="1:2" x14ac:dyDescent="0.3">
      <c r="A34" t="s">
        <v>108</v>
      </c>
      <c r="B34">
        <v>4</v>
      </c>
    </row>
    <row r="36" spans="1:2" x14ac:dyDescent="0.3">
      <c r="A36" t="s">
        <v>109</v>
      </c>
      <c r="B36">
        <f>C26*B32+C27*B33+C28*B34</f>
        <v>0</v>
      </c>
    </row>
    <row r="37" spans="1:2" x14ac:dyDescent="0.3">
      <c r="A37" t="s">
        <v>110</v>
      </c>
      <c r="B37">
        <f>B26*B32+B27*B33+B28*B34</f>
        <v>8</v>
      </c>
    </row>
  </sheetData>
  <autoFilter ref="A1:D2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SalesData</vt:lpstr>
      <vt:lpstr>Sheet2</vt:lpstr>
      <vt:lpstr>Products</vt:lpstr>
      <vt:lpstr>VLOOKUP_MISMATCH</vt:lpstr>
      <vt:lpstr>Questions_Answers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Sanjith M.G</cp:lastModifiedBy>
  <dcterms:created xsi:type="dcterms:W3CDTF">2026-10-14T05:55:35Z</dcterms:created>
  <dcterms:modified xsi:type="dcterms:W3CDTF">2026-10-25T11:20:14Z</dcterms:modified>
</cp:coreProperties>
</file>